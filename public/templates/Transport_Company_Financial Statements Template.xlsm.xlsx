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003642ce862bef/Desktop/IRS/"/>
    </mc:Choice>
  </mc:AlternateContent>
  <xr:revisionPtr revIDLastSave="45" documentId="8_{417C2CDD-D13F-4994-8054-97888BE0B5C5}" xr6:coauthVersionLast="47" xr6:coauthVersionMax="47" xr10:uidLastSave="{3144CA5D-12CF-4E03-9398-8AD5C46ABADD}"/>
  <bookViews>
    <workbookView xWindow="31665" yWindow="1050" windowWidth="21600" windowHeight="12915" activeTab="1" xr2:uid="{5A850104-CD25-4657-ACEE-79C3636A63D6}"/>
  </bookViews>
  <sheets>
    <sheet name="Income Statement" sheetId="1" r:id="rId1"/>
    <sheet name="Balance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2" l="1"/>
  <c r="B35" i="2"/>
  <c r="B33" i="2"/>
  <c r="B28" i="2"/>
  <c r="B20" i="2"/>
  <c r="B18" i="2"/>
  <c r="B9" i="2"/>
  <c r="B41" i="1"/>
  <c r="B34" i="1"/>
  <c r="B16" i="1"/>
  <c r="B9" i="1"/>
  <c r="B18" i="1" l="1"/>
  <c r="B36" i="1" s="1"/>
  <c r="B38" i="1" s="1"/>
</calcChain>
</file>

<file path=xl/sharedStrings.xml><?xml version="1.0" encoding="utf-8"?>
<sst xmlns="http://schemas.openxmlformats.org/spreadsheetml/2006/main" count="70" uniqueCount="68">
  <si>
    <t>TRANSPORT COMPANY FINANCIAL STATEMENTS</t>
  </si>
  <si>
    <t>PROFIT &amp; LOSS STATEMENT</t>
  </si>
  <si>
    <t>REVENUE</t>
  </si>
  <si>
    <t>Freight Services</t>
  </si>
  <si>
    <t>Warehousing Services</t>
  </si>
  <si>
    <t>Other Income</t>
  </si>
  <si>
    <t>Total Revenue</t>
  </si>
  <si>
    <t>COST OF GOODS SOLD</t>
  </si>
  <si>
    <t>Fuel Costs</t>
  </si>
  <si>
    <t>Vehicle Maintenance &amp; Repairs</t>
  </si>
  <si>
    <t>Vehicle Insurance</t>
  </si>
  <si>
    <t>Tolls &amp; Permits</t>
  </si>
  <si>
    <t>Total Cost of Goods Sold</t>
  </si>
  <si>
    <t>GROSS PROFIT</t>
  </si>
  <si>
    <t>OPERATING EXPENSES</t>
  </si>
  <si>
    <t>Salaries &amp; Wages (5 employees)</t>
  </si>
  <si>
    <t>Payroll Taxes &amp; Benefits</t>
  </si>
  <si>
    <t>Office Rent</t>
  </si>
  <si>
    <t>Utilities</t>
  </si>
  <si>
    <t>Insurance (General Liability)</t>
  </si>
  <si>
    <t>Equipment Lease</t>
  </si>
  <si>
    <t>Technology &amp; Software</t>
  </si>
  <si>
    <t>Marketing &amp; Advertising</t>
  </si>
  <si>
    <t>Professional Services (Legal/Accounting)</t>
  </si>
  <si>
    <t>Office Supplies</t>
  </si>
  <si>
    <t>Telecommunications</t>
  </si>
  <si>
    <t>Training &amp; Development</t>
  </si>
  <si>
    <t>Miscellaneous Expenses</t>
  </si>
  <si>
    <t>Total Operating Expenses</t>
  </si>
  <si>
    <t>EBITDA</t>
  </si>
  <si>
    <t>Depreciation &amp; Amortization</t>
  </si>
  <si>
    <t>EBIT (Operating Income)</t>
  </si>
  <si>
    <t>Interest Expense</t>
  </si>
  <si>
    <t>NET INCOME</t>
  </si>
  <si>
    <t>BALANCE SHEET</t>
  </si>
  <si>
    <t>As of December 31 2024</t>
  </si>
  <si>
    <t>ASSETS</t>
  </si>
  <si>
    <t>Current Assets</t>
  </si>
  <si>
    <t>Cash &amp; Cash Equivalents</t>
  </si>
  <si>
    <t>Accounts Receivable</t>
  </si>
  <si>
    <t>Prepaid Expenses</t>
  </si>
  <si>
    <t>Inventory (Parts &amp; Supplies)</t>
  </si>
  <si>
    <t>Total Current Assets</t>
  </si>
  <si>
    <t>Fixed Assets</t>
  </si>
  <si>
    <t>Vehicles (at cost)</t>
  </si>
  <si>
    <t>Less: Accumulated Depreciation</t>
  </si>
  <si>
    <t>Equipment &amp; Machinery</t>
  </si>
  <si>
    <t>Office Equipment &amp; Furniture</t>
  </si>
  <si>
    <t>Total Fixed Assets (Net)</t>
  </si>
  <si>
    <t>TOTAL ASSETS</t>
  </si>
  <si>
    <t>LIABILITIES AND EQUITY</t>
  </si>
  <si>
    <t>Current Liabilities</t>
  </si>
  <si>
    <t>Accounts Payable</t>
  </si>
  <si>
    <t>Accrued Expenses</t>
  </si>
  <si>
    <t>Current Portion of Long-term Debt</t>
  </si>
  <si>
    <t>Payroll Liabilities</t>
  </si>
  <si>
    <t>Total Current Liabilities</t>
  </si>
  <si>
    <t>Long-term Liabilities</t>
  </si>
  <si>
    <t>Vehicle Loans</t>
  </si>
  <si>
    <t>Equipment Financing</t>
  </si>
  <si>
    <t>Total Long-term Liabilities</t>
  </si>
  <si>
    <t>TOTAL LIABILITIES</t>
  </si>
  <si>
    <t>Equity</t>
  </si>
  <si>
    <t>Owner's Capital</t>
  </si>
  <si>
    <t>Retained Earnings</t>
  </si>
  <si>
    <t>Total Equity</t>
  </si>
  <si>
    <t>TOTAL LIABILITIES AND EQUITY</t>
  </si>
  <si>
    <t>For the Year Ended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</si>
</sst>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16" fillId="0" borderId="0" xfId="0" applyFont="1"/>
    <xf numFmtId="43" fontId="16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868A-AA3B-40F2-8B5E-CBE270236FE8}">
  <dimension ref="A1:B41"/>
  <sheetViews>
    <sheetView topLeftCell="A15" workbookViewId="0">
      <selection activeCell="O9" sqref="O9"/>
    </sheetView>
  </sheetViews>
  <sheetFormatPr defaultRowHeight="15" x14ac:dyDescent="0.25"/>
  <cols>
    <col min="1" max="1" width="36.140625" customWidth="1"/>
    <col min="2" max="2" width="13.28515625" style="1" bestFit="1" customWidth="1"/>
  </cols>
  <sheetData>
    <row r="1" spans="1:2" s="2" customFormat="1" x14ac:dyDescent="0.25">
      <c r="A1" s="2" t="s">
        <v>0</v>
      </c>
      <c r="B1" s="3"/>
    </row>
    <row r="2" spans="1:2" s="2" customFormat="1" x14ac:dyDescent="0.25">
      <c r="A2" s="2" t="s">
        <v>1</v>
      </c>
      <c r="B2" s="3"/>
    </row>
    <row r="3" spans="1:2" s="2" customFormat="1" x14ac:dyDescent="0.25">
      <c r="A3" s="2" t="s">
        <v>67</v>
      </c>
      <c r="B3" s="3"/>
    </row>
    <row r="5" spans="1:2" s="2" customFormat="1" x14ac:dyDescent="0.25">
      <c r="A5" s="2" t="s">
        <v>2</v>
      </c>
      <c r="B5" s="3"/>
    </row>
    <row r="6" spans="1:2" x14ac:dyDescent="0.25">
      <c r="A6" t="s">
        <v>3</v>
      </c>
      <c r="B6" s="1">
        <v>1650000</v>
      </c>
    </row>
    <row r="7" spans="1:2" x14ac:dyDescent="0.25">
      <c r="A7" t="s">
        <v>4</v>
      </c>
      <c r="B7" s="1">
        <v>250000</v>
      </c>
    </row>
    <row r="8" spans="1:2" x14ac:dyDescent="0.25">
      <c r="A8" t="s">
        <v>5</v>
      </c>
      <c r="B8" s="1">
        <v>100000</v>
      </c>
    </row>
    <row r="9" spans="1:2" s="2" customFormat="1" x14ac:dyDescent="0.25">
      <c r="A9" s="2" t="s">
        <v>6</v>
      </c>
      <c r="B9" s="3">
        <f>SUM(B6:B8)</f>
        <v>2000000</v>
      </c>
    </row>
    <row r="11" spans="1:2" s="2" customFormat="1" x14ac:dyDescent="0.25">
      <c r="A11" s="2" t="s">
        <v>7</v>
      </c>
      <c r="B11" s="3"/>
    </row>
    <row r="12" spans="1:2" x14ac:dyDescent="0.25">
      <c r="A12" t="s">
        <v>8</v>
      </c>
      <c r="B12" s="1">
        <v>420000</v>
      </c>
    </row>
    <row r="13" spans="1:2" x14ac:dyDescent="0.25">
      <c r="A13" t="s">
        <v>9</v>
      </c>
      <c r="B13" s="1">
        <v>95000</v>
      </c>
    </row>
    <row r="14" spans="1:2" x14ac:dyDescent="0.25">
      <c r="A14" t="s">
        <v>10</v>
      </c>
      <c r="B14" s="1">
        <v>45000</v>
      </c>
    </row>
    <row r="15" spans="1:2" x14ac:dyDescent="0.25">
      <c r="A15" t="s">
        <v>11</v>
      </c>
      <c r="B15" s="1">
        <v>35000</v>
      </c>
    </row>
    <row r="16" spans="1:2" s="2" customFormat="1" x14ac:dyDescent="0.25">
      <c r="A16" s="2" t="s">
        <v>12</v>
      </c>
      <c r="B16" s="3">
        <f>SUM(B12:B15)</f>
        <v>595000</v>
      </c>
    </row>
    <row r="18" spans="1:2" s="2" customFormat="1" x14ac:dyDescent="0.25">
      <c r="A18" s="2" t="s">
        <v>13</v>
      </c>
      <c r="B18" s="3">
        <f>B9-B16</f>
        <v>1405000</v>
      </c>
    </row>
    <row r="20" spans="1:2" s="2" customFormat="1" x14ac:dyDescent="0.25">
      <c r="A20" s="2" t="s">
        <v>14</v>
      </c>
      <c r="B20" s="3"/>
    </row>
    <row r="21" spans="1:2" x14ac:dyDescent="0.25">
      <c r="A21" t="s">
        <v>15</v>
      </c>
      <c r="B21" s="1">
        <v>325000</v>
      </c>
    </row>
    <row r="22" spans="1:2" x14ac:dyDescent="0.25">
      <c r="A22" t="s">
        <v>16</v>
      </c>
      <c r="B22" s="1">
        <v>65000</v>
      </c>
    </row>
    <row r="23" spans="1:2" x14ac:dyDescent="0.25">
      <c r="A23" t="s">
        <v>17</v>
      </c>
      <c r="B23" s="1">
        <v>36000</v>
      </c>
    </row>
    <row r="24" spans="1:2" x14ac:dyDescent="0.25">
      <c r="A24" t="s">
        <v>18</v>
      </c>
      <c r="B24" s="1">
        <v>8400</v>
      </c>
    </row>
    <row r="25" spans="1:2" x14ac:dyDescent="0.25">
      <c r="A25" t="s">
        <v>19</v>
      </c>
      <c r="B25" s="1">
        <v>24000</v>
      </c>
    </row>
    <row r="26" spans="1:2" x14ac:dyDescent="0.25">
      <c r="A26" t="s">
        <v>20</v>
      </c>
      <c r="B26" s="1">
        <v>48000</v>
      </c>
    </row>
    <row r="27" spans="1:2" x14ac:dyDescent="0.25">
      <c r="A27" t="s">
        <v>21</v>
      </c>
      <c r="B27" s="1">
        <v>18000</v>
      </c>
    </row>
    <row r="28" spans="1:2" x14ac:dyDescent="0.25">
      <c r="A28" t="s">
        <v>22</v>
      </c>
      <c r="B28" s="1">
        <v>22000</v>
      </c>
    </row>
    <row r="29" spans="1:2" x14ac:dyDescent="0.25">
      <c r="A29" t="s">
        <v>23</v>
      </c>
      <c r="B29" s="1">
        <v>15000</v>
      </c>
    </row>
    <row r="30" spans="1:2" x14ac:dyDescent="0.25">
      <c r="A30" t="s">
        <v>24</v>
      </c>
      <c r="B30" s="1">
        <v>6000</v>
      </c>
    </row>
    <row r="31" spans="1:2" x14ac:dyDescent="0.25">
      <c r="A31" t="s">
        <v>25</v>
      </c>
      <c r="B31" s="1">
        <v>7200</v>
      </c>
    </row>
    <row r="32" spans="1:2" x14ac:dyDescent="0.25">
      <c r="A32" t="s">
        <v>26</v>
      </c>
      <c r="B32" s="1">
        <v>5000</v>
      </c>
    </row>
    <row r="33" spans="1:2" x14ac:dyDescent="0.25">
      <c r="A33" t="s">
        <v>27</v>
      </c>
      <c r="B33" s="1">
        <v>12000</v>
      </c>
    </row>
    <row r="34" spans="1:2" s="2" customFormat="1" x14ac:dyDescent="0.25">
      <c r="A34" s="2" t="s">
        <v>28</v>
      </c>
      <c r="B34" s="3">
        <f>SUM(B21:B33)</f>
        <v>591600</v>
      </c>
    </row>
    <row r="36" spans="1:2" s="2" customFormat="1" x14ac:dyDescent="0.25">
      <c r="A36" s="2" t="s">
        <v>29</v>
      </c>
      <c r="B36" s="3">
        <f>B18-B34</f>
        <v>813400</v>
      </c>
    </row>
    <row r="37" spans="1:2" x14ac:dyDescent="0.25">
      <c r="A37" t="s">
        <v>30</v>
      </c>
      <c r="B37" s="1">
        <v>85000</v>
      </c>
    </row>
    <row r="38" spans="1:2" s="2" customFormat="1" x14ac:dyDescent="0.25">
      <c r="A38" s="2" t="s">
        <v>31</v>
      </c>
      <c r="B38" s="3">
        <f>B36-B37</f>
        <v>728400</v>
      </c>
    </row>
    <row r="39" spans="1:2" s="2" customFormat="1" x14ac:dyDescent="0.25">
      <c r="B39" s="3"/>
    </row>
    <row r="40" spans="1:2" x14ac:dyDescent="0.25">
      <c r="A40" t="s">
        <v>32</v>
      </c>
      <c r="B40" s="1">
        <v>28000</v>
      </c>
    </row>
    <row r="41" spans="1:2" s="2" customFormat="1" x14ac:dyDescent="0.25">
      <c r="A41" s="2" t="s">
        <v>33</v>
      </c>
      <c r="B41" s="3">
        <f>B38-B40</f>
        <v>700400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92FC-EDFD-4405-9657-2C23190D22DC}">
  <dimension ref="A1:B42"/>
  <sheetViews>
    <sheetView tabSelected="1" workbookViewId="0">
      <selection activeCell="F12" sqref="F12"/>
    </sheetView>
  </sheetViews>
  <sheetFormatPr defaultRowHeight="15" x14ac:dyDescent="0.25"/>
  <cols>
    <col min="1" max="1" width="30.85546875" bestFit="1" customWidth="1"/>
    <col min="2" max="2" width="12.28515625" style="1" bestFit="1" customWidth="1"/>
  </cols>
  <sheetData>
    <row r="1" spans="1:2" s="2" customFormat="1" x14ac:dyDescent="0.25">
      <c r="A1" s="2" t="s">
        <v>34</v>
      </c>
    </row>
    <row r="2" spans="1:2" s="2" customFormat="1" x14ac:dyDescent="0.25">
      <c r="A2" s="2" t="s">
        <v>35</v>
      </c>
    </row>
    <row r="3" spans="1:2" s="2" customFormat="1" x14ac:dyDescent="0.25">
      <c r="A3" s="2" t="s">
        <v>36</v>
      </c>
      <c r="B3" s="3"/>
    </row>
    <row r="4" spans="1:2" s="2" customFormat="1" x14ac:dyDescent="0.25">
      <c r="A4" s="2" t="s">
        <v>37</v>
      </c>
      <c r="B4" s="3"/>
    </row>
    <row r="5" spans="1:2" x14ac:dyDescent="0.25">
      <c r="A5" t="s">
        <v>38</v>
      </c>
      <c r="B5" s="1">
        <v>145000</v>
      </c>
    </row>
    <row r="6" spans="1:2" x14ac:dyDescent="0.25">
      <c r="A6" t="s">
        <v>39</v>
      </c>
      <c r="B6" s="1">
        <v>285000</v>
      </c>
    </row>
    <row r="7" spans="1:2" x14ac:dyDescent="0.25">
      <c r="A7" t="s">
        <v>40</v>
      </c>
      <c r="B7" s="1">
        <v>18000</v>
      </c>
    </row>
    <row r="8" spans="1:2" x14ac:dyDescent="0.25">
      <c r="A8" t="s">
        <v>41</v>
      </c>
      <c r="B8" s="1">
        <v>32000</v>
      </c>
    </row>
    <row r="9" spans="1:2" s="2" customFormat="1" x14ac:dyDescent="0.25">
      <c r="A9" s="2" t="s">
        <v>42</v>
      </c>
      <c r="B9" s="3">
        <f>SUM(B5:B8)</f>
        <v>480000</v>
      </c>
    </row>
    <row r="11" spans="1:2" s="2" customFormat="1" x14ac:dyDescent="0.25">
      <c r="A11" s="2" t="s">
        <v>43</v>
      </c>
      <c r="B11" s="3"/>
    </row>
    <row r="12" spans="1:2" x14ac:dyDescent="0.25">
      <c r="A12" t="s">
        <v>44</v>
      </c>
      <c r="B12" s="1">
        <v>650000</v>
      </c>
    </row>
    <row r="13" spans="1:2" x14ac:dyDescent="0.25">
      <c r="A13" t="s">
        <v>45</v>
      </c>
      <c r="B13" s="1">
        <v>-245000</v>
      </c>
    </row>
    <row r="14" spans="1:2" x14ac:dyDescent="0.25">
      <c r="A14" t="s">
        <v>46</v>
      </c>
      <c r="B14" s="1">
        <v>85000</v>
      </c>
    </row>
    <row r="15" spans="1:2" x14ac:dyDescent="0.25">
      <c r="A15" t="s">
        <v>45</v>
      </c>
      <c r="B15" s="1">
        <v>-32000</v>
      </c>
    </row>
    <row r="16" spans="1:2" x14ac:dyDescent="0.25">
      <c r="A16" t="s">
        <v>47</v>
      </c>
      <c r="B16" s="1">
        <v>25000</v>
      </c>
    </row>
    <row r="17" spans="1:2" x14ac:dyDescent="0.25">
      <c r="A17" t="s">
        <v>45</v>
      </c>
      <c r="B17" s="1">
        <v>-12000</v>
      </c>
    </row>
    <row r="18" spans="1:2" s="2" customFormat="1" x14ac:dyDescent="0.25">
      <c r="A18" s="2" t="s">
        <v>48</v>
      </c>
      <c r="B18" s="3">
        <f>SUM(B12:B17)</f>
        <v>471000</v>
      </c>
    </row>
    <row r="20" spans="1:2" s="2" customFormat="1" x14ac:dyDescent="0.25">
      <c r="A20" s="2" t="s">
        <v>49</v>
      </c>
      <c r="B20" s="3">
        <f>B9+B18</f>
        <v>951000</v>
      </c>
    </row>
    <row r="22" spans="1:2" s="2" customFormat="1" x14ac:dyDescent="0.25">
      <c r="A22" s="2" t="s">
        <v>50</v>
      </c>
      <c r="B22" s="3"/>
    </row>
    <row r="23" spans="1:2" s="2" customFormat="1" x14ac:dyDescent="0.25">
      <c r="A23" s="2" t="s">
        <v>51</v>
      </c>
      <c r="B23" s="3"/>
    </row>
    <row r="24" spans="1:2" x14ac:dyDescent="0.25">
      <c r="A24" t="s">
        <v>52</v>
      </c>
      <c r="B24" s="1">
        <v>95000</v>
      </c>
    </row>
    <row r="25" spans="1:2" x14ac:dyDescent="0.25">
      <c r="A25" t="s">
        <v>53</v>
      </c>
      <c r="B25" s="1">
        <v>42000</v>
      </c>
    </row>
    <row r="26" spans="1:2" x14ac:dyDescent="0.25">
      <c r="A26" t="s">
        <v>54</v>
      </c>
      <c r="B26" s="1">
        <v>55000</v>
      </c>
    </row>
    <row r="27" spans="1:2" x14ac:dyDescent="0.25">
      <c r="A27" t="s">
        <v>55</v>
      </c>
      <c r="B27" s="1">
        <v>28000</v>
      </c>
    </row>
    <row r="28" spans="1:2" s="2" customFormat="1" x14ac:dyDescent="0.25">
      <c r="A28" s="2" t="s">
        <v>56</v>
      </c>
      <c r="B28" s="3">
        <f>SUM(B24:B27)</f>
        <v>220000</v>
      </c>
    </row>
    <row r="30" spans="1:2" s="2" customFormat="1" x14ac:dyDescent="0.25">
      <c r="A30" s="2" t="s">
        <v>57</v>
      </c>
      <c r="B30" s="3"/>
    </row>
    <row r="31" spans="1:2" x14ac:dyDescent="0.25">
      <c r="A31" t="s">
        <v>58</v>
      </c>
      <c r="B31" s="1">
        <v>285000</v>
      </c>
    </row>
    <row r="32" spans="1:2" x14ac:dyDescent="0.25">
      <c r="A32" t="s">
        <v>59</v>
      </c>
      <c r="B32" s="1">
        <v>95000</v>
      </c>
    </row>
    <row r="33" spans="1:2" s="2" customFormat="1" x14ac:dyDescent="0.25">
      <c r="A33" s="2" t="s">
        <v>60</v>
      </c>
      <c r="B33" s="3">
        <f>SUM(B31:B32)</f>
        <v>380000</v>
      </c>
    </row>
    <row r="35" spans="1:2" s="2" customFormat="1" x14ac:dyDescent="0.25">
      <c r="A35" s="2" t="s">
        <v>61</v>
      </c>
      <c r="B35" s="3">
        <f>B28+B33</f>
        <v>600000</v>
      </c>
    </row>
    <row r="37" spans="1:2" s="2" customFormat="1" x14ac:dyDescent="0.25">
      <c r="A37" s="2" t="s">
        <v>62</v>
      </c>
      <c r="B37" s="3"/>
    </row>
    <row r="38" spans="1:2" x14ac:dyDescent="0.25">
      <c r="A38" t="s">
        <v>63</v>
      </c>
      <c r="B38" s="1">
        <v>250000</v>
      </c>
    </row>
    <row r="39" spans="1:2" x14ac:dyDescent="0.25">
      <c r="A39" t="s">
        <v>64</v>
      </c>
      <c r="B39" s="1">
        <v>106000</v>
      </c>
    </row>
    <row r="40" spans="1:2" s="2" customFormat="1" x14ac:dyDescent="0.25">
      <c r="A40" s="2" t="s">
        <v>65</v>
      </c>
      <c r="B40" s="3">
        <f>SUM(B38:B39)</f>
        <v>356000</v>
      </c>
    </row>
    <row r="42" spans="1:2" s="2" customFormat="1" x14ac:dyDescent="0.25">
      <c r="A42" s="2" t="s">
        <v>66</v>
      </c>
      <c r="B42" s="3">
        <v>956000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Statement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Mugisa</dc:creator>
  <cp:lastModifiedBy>Allan Mugisa</cp:lastModifiedBy>
  <dcterms:created xsi:type="dcterms:W3CDTF">2025-11-13T01:37:56Z</dcterms:created>
  <dcterms:modified xsi:type="dcterms:W3CDTF">2025-11-14T06:18:39Z</dcterms:modified>
</cp:coreProperties>
</file>
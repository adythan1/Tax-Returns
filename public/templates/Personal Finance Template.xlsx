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3003642ce862bef/Kyzer Inc/Kyzer Financial Coaching/"/>
    </mc:Choice>
  </mc:AlternateContent>
  <xr:revisionPtr revIDLastSave="115" documentId="8_{9994D3AB-A450-42A7-BB20-CA089B6B74D0}" xr6:coauthVersionLast="47" xr6:coauthVersionMax="47" xr10:uidLastSave="{0123CA6E-6AA6-49EB-94FF-E458FA6CEC89}"/>
  <bookViews>
    <workbookView xWindow="4410" yWindow="510" windowWidth="22905" windowHeight="14640" xr2:uid="{1AC2A721-9ABD-4B77-AFEF-7DC64AE8F40F}"/>
  </bookViews>
  <sheets>
    <sheet name="Net Wort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  <c r="B12" i="1"/>
  <c r="B18" i="1"/>
  <c r="B24" i="1"/>
  <c r="B34" i="1"/>
  <c r="G36" i="1"/>
  <c r="G8" i="1"/>
  <c r="B25" i="1" l="1"/>
  <c r="B37" i="1" s="1"/>
  <c r="G38" i="1"/>
</calcChain>
</file>

<file path=xl/sharedStrings.xml><?xml version="1.0" encoding="utf-8"?>
<sst xmlns="http://schemas.openxmlformats.org/spreadsheetml/2006/main" count="63" uniqueCount="63">
  <si>
    <t>Assets:</t>
  </si>
  <si>
    <t>Checking account:</t>
  </si>
  <si>
    <t xml:space="preserve">Savings account </t>
  </si>
  <si>
    <t xml:space="preserve">Money market fund </t>
  </si>
  <si>
    <t>Investment Income</t>
  </si>
  <si>
    <t>Investments</t>
  </si>
  <si>
    <t>Value Mutual Fund</t>
  </si>
  <si>
    <t xml:space="preserve">Total Inflows: </t>
  </si>
  <si>
    <t>Common Stock</t>
  </si>
  <si>
    <t>Retirement Assets</t>
  </si>
  <si>
    <t>Outflows</t>
  </si>
  <si>
    <t>Income and FICA Taxes</t>
  </si>
  <si>
    <t>401k Contributions</t>
  </si>
  <si>
    <t>Car Loans</t>
  </si>
  <si>
    <t>Assets</t>
  </si>
  <si>
    <t>Credit Cards</t>
  </si>
  <si>
    <t>House</t>
  </si>
  <si>
    <t>Food and Supplies</t>
  </si>
  <si>
    <t>Cars</t>
  </si>
  <si>
    <t>Home and Auto insurance</t>
  </si>
  <si>
    <t>Clothing</t>
  </si>
  <si>
    <t>Total Assets</t>
  </si>
  <si>
    <t>HELOC Payment</t>
  </si>
  <si>
    <t>Property Taxes</t>
  </si>
  <si>
    <t>Liabilities</t>
  </si>
  <si>
    <t>First Mortgage</t>
  </si>
  <si>
    <t>Charitable Contributions</t>
  </si>
  <si>
    <t>HELOC</t>
  </si>
  <si>
    <t>Medical and Dental</t>
  </si>
  <si>
    <t>Vehicle Expenses</t>
  </si>
  <si>
    <t>Maintenance and Repairs</t>
  </si>
  <si>
    <t>Total Liabilities</t>
  </si>
  <si>
    <t>Total Outflow</t>
  </si>
  <si>
    <t xml:space="preserve">Net Worth:  </t>
  </si>
  <si>
    <t>Personal property</t>
  </si>
  <si>
    <t xml:space="preserve">401K </t>
  </si>
  <si>
    <t>Roth IRA</t>
  </si>
  <si>
    <t>Salary 1</t>
  </si>
  <si>
    <t>Salary 2</t>
  </si>
  <si>
    <t>Other Income</t>
  </si>
  <si>
    <t xml:space="preserve">Profit Sharing Plan </t>
  </si>
  <si>
    <t>Roth IRA Contributions</t>
  </si>
  <si>
    <t>Other major expenses</t>
  </si>
  <si>
    <t>Misc. expenses</t>
  </si>
  <si>
    <t>Home Furnishings</t>
  </si>
  <si>
    <t>Student Loans</t>
  </si>
  <si>
    <t>Credit Card Payments</t>
  </si>
  <si>
    <t>Car Loan Payments</t>
  </si>
  <si>
    <t>Mortgage Payments</t>
  </si>
  <si>
    <t>Child Care</t>
  </si>
  <si>
    <t>Family Support</t>
  </si>
  <si>
    <t>Travel and Entertainment</t>
  </si>
  <si>
    <t>Utilities - Phone, Internet, Cable, Gas, Electricity</t>
  </si>
  <si>
    <t>Net Cashflow</t>
  </si>
  <si>
    <t>Salary 3</t>
  </si>
  <si>
    <t>Index Funds</t>
  </si>
  <si>
    <t>Assets and Liabilities</t>
  </si>
  <si>
    <t>Cash Flows</t>
  </si>
  <si>
    <t>Inflows:</t>
  </si>
  <si>
    <t>Other investments</t>
  </si>
  <si>
    <t>Other assets</t>
  </si>
  <si>
    <t>Other retirement assets</t>
  </si>
  <si>
    <t>Personal loan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</si>
</sst>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43" fontId="2" fillId="0" borderId="0" xfId="1" applyFont="1"/>
    <xf numFmtId="43" fontId="0" fillId="0" borderId="0" xfId="1" applyFont="1"/>
    <xf numFmtId="43" fontId="1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  <wetp:taskpane dockstate="right" visibility="0" width="350" row="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00C19182-EED1-45D0-A78D-32B4980C86BC}">
  <we:reference id="wa200005271" version="2.5.5.0" store="en-US" storeType="OMEX"/>
  <we:alternateReferences>
    <we:reference id="wa200005271" version="2.5.5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7FB59B8B-8DF2-43D4-8137-5CFAFBFE7A71}">
  <we:reference id="wa200006575" version="1.0.0.3" store="en-US" storeType="OMEX"/>
  <we:alternateReferences>
    <we:reference id="WA200006575" version="1.0.0.3" store="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12F6A-E475-4537-A0E1-D11A5298E33C}">
  <dimension ref="A1:H38"/>
  <sheetViews>
    <sheetView tabSelected="1" workbookViewId="0">
      <selection activeCell="L18" sqref="L18"/>
    </sheetView>
  </sheetViews>
  <sheetFormatPr defaultRowHeight="15" x14ac:dyDescent="0.25"/>
  <cols>
    <col min="1" max="1" width="21.42578125" bestFit="1" customWidth="1"/>
    <col min="2" max="2" width="13.28515625" bestFit="1" customWidth="1"/>
    <col min="6" max="6" width="49" customWidth="1"/>
    <col min="7" max="7" width="11.5703125" style="3" bestFit="1" customWidth="1"/>
  </cols>
  <sheetData>
    <row r="1" spans="1:8" x14ac:dyDescent="0.25">
      <c r="A1" s="1" t="s">
        <v>56</v>
      </c>
      <c r="F1" s="1" t="s">
        <v>57</v>
      </c>
    </row>
    <row r="2" spans="1:8" x14ac:dyDescent="0.25">
      <c r="A2" s="1" t="s">
        <v>0</v>
      </c>
      <c r="B2" s="2"/>
      <c r="C2" s="1"/>
      <c r="D2" s="1"/>
      <c r="E2" s="1"/>
      <c r="F2" s="1" t="s">
        <v>58</v>
      </c>
      <c r="G2" s="2"/>
      <c r="H2" s="1"/>
    </row>
    <row r="3" spans="1:8" x14ac:dyDescent="0.25">
      <c r="A3" t="s">
        <v>1</v>
      </c>
      <c r="B3" s="3">
        <v>7500</v>
      </c>
      <c r="F3" t="s">
        <v>37</v>
      </c>
      <c r="G3" s="3">
        <v>105000</v>
      </c>
    </row>
    <row r="4" spans="1:8" x14ac:dyDescent="0.25">
      <c r="A4" t="s">
        <v>2</v>
      </c>
      <c r="B4" s="3">
        <v>80000</v>
      </c>
      <c r="F4" t="s">
        <v>38</v>
      </c>
      <c r="G4" s="3">
        <v>35000</v>
      </c>
    </row>
    <row r="5" spans="1:8" x14ac:dyDescent="0.25">
      <c r="A5" t="s">
        <v>3</v>
      </c>
      <c r="B5" s="3">
        <v>19000</v>
      </c>
      <c r="F5" t="s">
        <v>54</v>
      </c>
      <c r="G5" s="3">
        <v>40000</v>
      </c>
    </row>
    <row r="6" spans="1:8" x14ac:dyDescent="0.25">
      <c r="B6" s="2">
        <f>SUM(B3:B5)</f>
        <v>106500</v>
      </c>
      <c r="F6" t="s">
        <v>4</v>
      </c>
      <c r="G6" s="3">
        <v>3200</v>
      </c>
    </row>
    <row r="7" spans="1:8" x14ac:dyDescent="0.25">
      <c r="A7" s="1" t="s">
        <v>5</v>
      </c>
      <c r="B7" s="2"/>
      <c r="C7" s="1"/>
      <c r="D7" s="1"/>
      <c r="E7" s="1"/>
      <c r="F7" t="s">
        <v>39</v>
      </c>
      <c r="G7" s="4">
        <v>2000</v>
      </c>
      <c r="H7" s="1"/>
    </row>
    <row r="8" spans="1:8" x14ac:dyDescent="0.25">
      <c r="A8" t="s">
        <v>6</v>
      </c>
      <c r="B8" s="3">
        <v>375000</v>
      </c>
      <c r="F8" s="1" t="s">
        <v>7</v>
      </c>
      <c r="G8" s="2">
        <f>SUM(G3:G7)</f>
        <v>185200</v>
      </c>
    </row>
    <row r="9" spans="1:8" x14ac:dyDescent="0.25">
      <c r="A9" t="s">
        <v>8</v>
      </c>
      <c r="B9" s="3">
        <v>280000</v>
      </c>
    </row>
    <row r="10" spans="1:8" x14ac:dyDescent="0.25">
      <c r="A10" t="s">
        <v>55</v>
      </c>
      <c r="B10" s="3">
        <v>50000</v>
      </c>
    </row>
    <row r="11" spans="1:8" x14ac:dyDescent="0.25">
      <c r="A11" t="s">
        <v>59</v>
      </c>
      <c r="B11" s="3">
        <v>0</v>
      </c>
      <c r="F11" s="1" t="s">
        <v>10</v>
      </c>
    </row>
    <row r="12" spans="1:8" x14ac:dyDescent="0.25">
      <c r="B12" s="2">
        <f>SUM(B8:B11)</f>
        <v>705000</v>
      </c>
      <c r="F12" t="s">
        <v>11</v>
      </c>
      <c r="G12" s="3">
        <v>57000</v>
      </c>
    </row>
    <row r="13" spans="1:8" x14ac:dyDescent="0.25">
      <c r="A13" s="1" t="s">
        <v>9</v>
      </c>
      <c r="B13" s="3"/>
      <c r="F13" t="s">
        <v>12</v>
      </c>
      <c r="G13" s="3">
        <v>22000</v>
      </c>
    </row>
    <row r="14" spans="1:8" x14ac:dyDescent="0.25">
      <c r="A14" t="s">
        <v>35</v>
      </c>
      <c r="B14" s="3">
        <v>475000</v>
      </c>
      <c r="F14" t="s">
        <v>41</v>
      </c>
      <c r="G14" s="3">
        <v>2000</v>
      </c>
    </row>
    <row r="15" spans="1:8" x14ac:dyDescent="0.25">
      <c r="A15" t="s">
        <v>36</v>
      </c>
      <c r="B15" s="3">
        <v>0</v>
      </c>
      <c r="F15" t="s">
        <v>47</v>
      </c>
      <c r="G15" s="3">
        <v>12500</v>
      </c>
    </row>
    <row r="16" spans="1:8" x14ac:dyDescent="0.25">
      <c r="A16" t="s">
        <v>40</v>
      </c>
      <c r="B16" s="3">
        <v>42000</v>
      </c>
      <c r="F16" t="s">
        <v>46</v>
      </c>
      <c r="G16" s="3">
        <v>11000</v>
      </c>
    </row>
    <row r="17" spans="1:7" x14ac:dyDescent="0.25">
      <c r="A17" t="s">
        <v>61</v>
      </c>
      <c r="B17" s="3">
        <v>0</v>
      </c>
      <c r="F17" t="s">
        <v>48</v>
      </c>
      <c r="G17" s="3">
        <v>12000</v>
      </c>
    </row>
    <row r="18" spans="1:7" x14ac:dyDescent="0.25">
      <c r="B18" s="2">
        <f>SUM(B14:B17)</f>
        <v>517000</v>
      </c>
      <c r="F18" t="s">
        <v>17</v>
      </c>
      <c r="G18" s="3">
        <v>7000</v>
      </c>
    </row>
    <row r="19" spans="1:7" x14ac:dyDescent="0.25">
      <c r="A19" s="1" t="s">
        <v>14</v>
      </c>
      <c r="B19" s="3"/>
      <c r="F19" t="s">
        <v>19</v>
      </c>
      <c r="G19" s="3">
        <v>5000</v>
      </c>
    </row>
    <row r="20" spans="1:7" x14ac:dyDescent="0.25">
      <c r="A20" t="s">
        <v>16</v>
      </c>
      <c r="B20" s="3">
        <v>185000</v>
      </c>
      <c r="F20" t="s">
        <v>20</v>
      </c>
      <c r="G20" s="3">
        <v>3500</v>
      </c>
    </row>
    <row r="21" spans="1:7" x14ac:dyDescent="0.25">
      <c r="A21" t="s">
        <v>34</v>
      </c>
      <c r="B21" s="3">
        <v>46500</v>
      </c>
      <c r="F21" t="s">
        <v>22</v>
      </c>
      <c r="G21" s="3">
        <v>6000</v>
      </c>
    </row>
    <row r="22" spans="1:7" x14ac:dyDescent="0.25">
      <c r="A22" t="s">
        <v>18</v>
      </c>
      <c r="B22" s="3">
        <v>37000</v>
      </c>
      <c r="F22" t="s">
        <v>23</v>
      </c>
      <c r="G22" s="3">
        <v>5200</v>
      </c>
    </row>
    <row r="23" spans="1:7" x14ac:dyDescent="0.25">
      <c r="A23" t="s">
        <v>60</v>
      </c>
      <c r="B23" s="3">
        <v>0</v>
      </c>
      <c r="F23" t="s">
        <v>51</v>
      </c>
      <c r="G23" s="3">
        <v>5000</v>
      </c>
    </row>
    <row r="24" spans="1:7" x14ac:dyDescent="0.25">
      <c r="B24" s="2">
        <f>SUM(B20:B23)</f>
        <v>268500</v>
      </c>
      <c r="F24" t="s">
        <v>26</v>
      </c>
      <c r="G24" s="3">
        <v>5000</v>
      </c>
    </row>
    <row r="25" spans="1:7" x14ac:dyDescent="0.25">
      <c r="A25" s="1" t="s">
        <v>21</v>
      </c>
      <c r="B25" s="2">
        <f>B6+B18+B12+B24</f>
        <v>1597000</v>
      </c>
      <c r="F25" t="s">
        <v>28</v>
      </c>
      <c r="G25" s="3">
        <v>3500</v>
      </c>
    </row>
    <row r="26" spans="1:7" x14ac:dyDescent="0.25">
      <c r="B26" s="3"/>
      <c r="F26" t="s">
        <v>29</v>
      </c>
      <c r="G26" s="3">
        <v>4200</v>
      </c>
    </row>
    <row r="27" spans="1:7" x14ac:dyDescent="0.25">
      <c r="A27" s="1" t="s">
        <v>24</v>
      </c>
      <c r="B27" s="3"/>
      <c r="F27" t="s">
        <v>52</v>
      </c>
      <c r="G27" s="3">
        <v>2300</v>
      </c>
    </row>
    <row r="28" spans="1:7" x14ac:dyDescent="0.25">
      <c r="A28" t="s">
        <v>45</v>
      </c>
      <c r="B28" s="3">
        <v>2000</v>
      </c>
      <c r="F28" t="s">
        <v>30</v>
      </c>
      <c r="G28" s="3">
        <v>2000</v>
      </c>
    </row>
    <row r="29" spans="1:7" x14ac:dyDescent="0.25">
      <c r="A29" t="s">
        <v>25</v>
      </c>
      <c r="B29" s="3">
        <v>52000</v>
      </c>
      <c r="F29" t="s">
        <v>49</v>
      </c>
      <c r="G29" s="3">
        <v>6000</v>
      </c>
    </row>
    <row r="30" spans="1:7" x14ac:dyDescent="0.25">
      <c r="A30" t="s">
        <v>27</v>
      </c>
      <c r="B30" s="3">
        <v>17700</v>
      </c>
      <c r="F30" t="s">
        <v>50</v>
      </c>
      <c r="G30" s="3">
        <v>2000</v>
      </c>
    </row>
    <row r="31" spans="1:7" x14ac:dyDescent="0.25">
      <c r="A31" t="s">
        <v>15</v>
      </c>
      <c r="B31" s="3">
        <v>23000</v>
      </c>
      <c r="F31" t="s">
        <v>44</v>
      </c>
      <c r="G31" s="3">
        <v>1200</v>
      </c>
    </row>
    <row r="32" spans="1:7" x14ac:dyDescent="0.25">
      <c r="A32" t="s">
        <v>13</v>
      </c>
      <c r="B32" s="3">
        <v>17400</v>
      </c>
      <c r="F32" t="s">
        <v>42</v>
      </c>
      <c r="G32" s="3">
        <v>0</v>
      </c>
    </row>
    <row r="33" spans="1:7" x14ac:dyDescent="0.25">
      <c r="A33" t="s">
        <v>62</v>
      </c>
      <c r="B33" s="3">
        <v>0</v>
      </c>
      <c r="F33" t="s">
        <v>43</v>
      </c>
      <c r="G33" s="3">
        <v>1000</v>
      </c>
    </row>
    <row r="34" spans="1:7" x14ac:dyDescent="0.25">
      <c r="A34" s="1" t="s">
        <v>31</v>
      </c>
      <c r="B34" s="2">
        <f>SUM(B28:B33)</f>
        <v>112100</v>
      </c>
    </row>
    <row r="35" spans="1:7" x14ac:dyDescent="0.25">
      <c r="B35" s="3"/>
    </row>
    <row r="36" spans="1:7" x14ac:dyDescent="0.25">
      <c r="B36" s="3"/>
      <c r="F36" s="1" t="s">
        <v>32</v>
      </c>
      <c r="G36" s="2">
        <f>SUM(G12:G33)</f>
        <v>175400</v>
      </c>
    </row>
    <row r="37" spans="1:7" x14ac:dyDescent="0.25">
      <c r="A37" s="1" t="s">
        <v>33</v>
      </c>
      <c r="B37" s="2">
        <f>SUM(B25-B34)</f>
        <v>1484900</v>
      </c>
    </row>
    <row r="38" spans="1:7" x14ac:dyDescent="0.25">
      <c r="F38" s="1" t="s">
        <v>53</v>
      </c>
      <c r="G38" s="2">
        <f>G8-G36</f>
        <v>9800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 Worth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Mugisa</dc:creator>
  <cp:lastModifiedBy>Allan Mugisa</cp:lastModifiedBy>
  <dcterms:created xsi:type="dcterms:W3CDTF">2025-09-06T15:01:51Z</dcterms:created>
  <dcterms:modified xsi:type="dcterms:W3CDTF">2025-11-13T01:22:08Z</dcterms:modified>
</cp:coreProperties>
</file>
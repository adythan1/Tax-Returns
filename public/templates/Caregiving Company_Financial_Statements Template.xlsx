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003642ce862bef/Desktop/IRS/"/>
    </mc:Choice>
  </mc:AlternateContent>
  <xr:revisionPtr revIDLastSave="49" documentId="8_{1CF89206-7D75-4CED-9B5F-EC0ABEC36809}" xr6:coauthVersionLast="47" xr6:coauthVersionMax="47" xr10:uidLastSave="{855192D6-22A8-4E21-A128-25C2F3C6D2C3}"/>
  <bookViews>
    <workbookView xWindow="31665" yWindow="1050" windowWidth="21600" windowHeight="12915" xr2:uid="{BFDC5EB9-D5D0-46BC-91FA-D75187CC8164}"/>
  </bookViews>
  <sheets>
    <sheet name="Income Statement (P&amp;L)" sheetId="1" r:id="rId1"/>
    <sheet name="Balance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" l="1"/>
  <c r="B35" i="2"/>
  <c r="B30" i="2"/>
  <c r="B12" i="2"/>
  <c r="B22" i="2"/>
  <c r="B9" i="1"/>
  <c r="B31" i="1" s="1"/>
  <c r="B29" i="1"/>
</calcChain>
</file>

<file path=xl/sharedStrings.xml><?xml version="1.0" encoding="utf-8"?>
<sst xmlns="http://schemas.openxmlformats.org/spreadsheetml/2006/main" count="60" uniqueCount="59">
  <si>
    <t>PERSONAL CAREGIVING SERVICES</t>
  </si>
  <si>
    <t>Profit &amp; Loss Statement</t>
  </si>
  <si>
    <t>REVENUE</t>
  </si>
  <si>
    <t>Client Service Fees</t>
  </si>
  <si>
    <t>Respite Care Services</t>
  </si>
  <si>
    <t>Transportation Services</t>
  </si>
  <si>
    <t>Total Revenue</t>
  </si>
  <si>
    <t>OPERATING EXPENSES</t>
  </si>
  <si>
    <t>Caregiver Wages</t>
  </si>
  <si>
    <t>Payroll Taxes</t>
  </si>
  <si>
    <t>Workers Compensation Insurance</t>
  </si>
  <si>
    <t>Professional Liability Insurance</t>
  </si>
  <si>
    <t>Office Supplies</t>
  </si>
  <si>
    <t>Marketing &amp; Advertising</t>
  </si>
  <si>
    <t>Professional Development &amp; Training</t>
  </si>
  <si>
    <t>Licensing &amp; Permits</t>
  </si>
  <si>
    <t>Accounting &amp; Legal Fees</t>
  </si>
  <si>
    <t>Telephone &amp; Internet</t>
  </si>
  <si>
    <t>Background Checks &amp; Screening</t>
  </si>
  <si>
    <t>Medical Supplies</t>
  </si>
  <si>
    <t>Rent (Home Office)</t>
  </si>
  <si>
    <t>Utilities</t>
  </si>
  <si>
    <t>Computer &amp; Software</t>
  </si>
  <si>
    <t>Memberships &amp; Subscriptions</t>
  </si>
  <si>
    <t>Total Operating Expenses</t>
  </si>
  <si>
    <t>NET INCOME</t>
  </si>
  <si>
    <t>Balance Sheet</t>
  </si>
  <si>
    <t>ASSETS</t>
  </si>
  <si>
    <t>Current Assets</t>
  </si>
  <si>
    <t>Cash</t>
  </si>
  <si>
    <t>Accounts Receivable</t>
  </si>
  <si>
    <t>Prepaid Insurance</t>
  </si>
  <si>
    <t>Supplies Inventory</t>
  </si>
  <si>
    <t>Total Current Assets</t>
  </si>
  <si>
    <t>Fixed Assets</t>
  </si>
  <si>
    <t>Vehicle</t>
  </si>
  <si>
    <t>Less: Accumulated Depreciation - Vehicle</t>
  </si>
  <si>
    <t>Computer Equipment</t>
  </si>
  <si>
    <t>Less: Accumulated Depreciation - Equipment</t>
  </si>
  <si>
    <t>Office Furniture</t>
  </si>
  <si>
    <t>Less: Accumulated Depreciation - Furniture</t>
  </si>
  <si>
    <t>Total Fixed Assets</t>
  </si>
  <si>
    <t>TOTAL ASSETS</t>
  </si>
  <si>
    <t>LIABILITIES AND OWNER'S EQUITY</t>
  </si>
  <si>
    <t>Current Liabilities</t>
  </si>
  <si>
    <t>Accounts Payable</t>
  </si>
  <si>
    <t>Accrued Payroll</t>
  </si>
  <si>
    <t>Accrued Taxes Payable</t>
  </si>
  <si>
    <t>Credit Card Payable</t>
  </si>
  <si>
    <t>Total Current Liabilities</t>
  </si>
  <si>
    <t>Long-Term Liabilities</t>
  </si>
  <si>
    <t>Vehicle Loan</t>
  </si>
  <si>
    <t>Total Long-Term Liabilities</t>
  </si>
  <si>
    <t>Total Liabilities</t>
  </si>
  <si>
    <t>Owner's Equity</t>
  </si>
  <si>
    <t>TOTAL LIABILITIES AND OWNER'S EQUITY</t>
  </si>
  <si>
    <t>Vehicle Expenses (Gas &amp; Maintenance)</t>
  </si>
  <si>
    <t>For the Year Ended December 31 2024</t>
  </si>
  <si>
    <t>As of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</si>
</sst>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16" fillId="0" borderId="0" xfId="0" applyFont="1"/>
    <xf numFmtId="43" fontId="16" fillId="0" borderId="0" xfId="42" applyFont="1"/>
    <xf numFmtId="43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136EE-4E16-44EA-AC09-1D0C873DED8B}">
  <dimension ref="A1:B31"/>
  <sheetViews>
    <sheetView tabSelected="1" workbookViewId="0">
      <selection activeCell="G20" sqref="G20"/>
    </sheetView>
  </sheetViews>
  <sheetFormatPr defaultRowHeight="15" x14ac:dyDescent="0.25"/>
  <cols>
    <col min="1" max="1" width="41.140625" bestFit="1" customWidth="1"/>
    <col min="2" max="2" width="13.7109375" style="3" bestFit="1" customWidth="1"/>
  </cols>
  <sheetData>
    <row r="1" spans="1:2" s="1" customFormat="1" x14ac:dyDescent="0.25">
      <c r="A1" s="1" t="s">
        <v>0</v>
      </c>
      <c r="B1" s="2"/>
    </row>
    <row r="2" spans="1:2" s="1" customFormat="1" x14ac:dyDescent="0.25">
      <c r="A2" s="1" t="s">
        <v>1</v>
      </c>
      <c r="B2" s="2"/>
    </row>
    <row r="3" spans="1:2" s="1" customFormat="1" x14ac:dyDescent="0.25">
      <c r="A3" s="1" t="s">
        <v>57</v>
      </c>
      <c r="B3" s="2"/>
    </row>
    <row r="5" spans="1:2" s="1" customFormat="1" x14ac:dyDescent="0.25">
      <c r="A5" s="1" t="s">
        <v>2</v>
      </c>
      <c r="B5" s="2"/>
    </row>
    <row r="6" spans="1:2" x14ac:dyDescent="0.25">
      <c r="A6" t="s">
        <v>3</v>
      </c>
      <c r="B6" s="3">
        <v>185000</v>
      </c>
    </row>
    <row r="7" spans="1:2" x14ac:dyDescent="0.25">
      <c r="A7" t="s">
        <v>4</v>
      </c>
      <c r="B7" s="3">
        <v>12000</v>
      </c>
    </row>
    <row r="8" spans="1:2" x14ac:dyDescent="0.25">
      <c r="A8" t="s">
        <v>5</v>
      </c>
      <c r="B8" s="3">
        <v>3000</v>
      </c>
    </row>
    <row r="9" spans="1:2" s="1" customFormat="1" x14ac:dyDescent="0.25">
      <c r="A9" s="1" t="s">
        <v>6</v>
      </c>
      <c r="B9" s="2">
        <f>SUM(B6:B8)</f>
        <v>200000</v>
      </c>
    </row>
    <row r="11" spans="1:2" s="1" customFormat="1" x14ac:dyDescent="0.25">
      <c r="A11" s="1" t="s">
        <v>7</v>
      </c>
      <c r="B11" s="2"/>
    </row>
    <row r="12" spans="1:2" x14ac:dyDescent="0.25">
      <c r="A12" t="s">
        <v>8</v>
      </c>
      <c r="B12" s="3">
        <v>95000</v>
      </c>
    </row>
    <row r="13" spans="1:2" x14ac:dyDescent="0.25">
      <c r="A13" t="s">
        <v>9</v>
      </c>
      <c r="B13" s="3">
        <v>11875</v>
      </c>
    </row>
    <row r="14" spans="1:2" x14ac:dyDescent="0.25">
      <c r="A14" t="s">
        <v>10</v>
      </c>
      <c r="B14" s="3">
        <v>4500</v>
      </c>
    </row>
    <row r="15" spans="1:2" x14ac:dyDescent="0.25">
      <c r="A15" t="s">
        <v>11</v>
      </c>
      <c r="B15" s="3">
        <v>2800</v>
      </c>
    </row>
    <row r="16" spans="1:2" x14ac:dyDescent="0.25">
      <c r="A16" t="s">
        <v>56</v>
      </c>
      <c r="B16" s="3">
        <v>6500</v>
      </c>
    </row>
    <row r="17" spans="1:2" x14ac:dyDescent="0.25">
      <c r="A17" t="s">
        <v>12</v>
      </c>
      <c r="B17" s="3">
        <v>1200</v>
      </c>
    </row>
    <row r="18" spans="1:2" x14ac:dyDescent="0.25">
      <c r="A18" t="s">
        <v>13</v>
      </c>
      <c r="B18" s="3">
        <v>3500</v>
      </c>
    </row>
    <row r="19" spans="1:2" x14ac:dyDescent="0.25">
      <c r="A19" t="s">
        <v>14</v>
      </c>
      <c r="B19" s="3">
        <v>1800</v>
      </c>
    </row>
    <row r="20" spans="1:2" x14ac:dyDescent="0.25">
      <c r="A20" t="s">
        <v>15</v>
      </c>
      <c r="B20" s="3">
        <v>850</v>
      </c>
    </row>
    <row r="21" spans="1:2" x14ac:dyDescent="0.25">
      <c r="A21" t="s">
        <v>16</v>
      </c>
      <c r="B21" s="3">
        <v>2500</v>
      </c>
    </row>
    <row r="22" spans="1:2" x14ac:dyDescent="0.25">
      <c r="A22" t="s">
        <v>17</v>
      </c>
      <c r="B22" s="3">
        <v>1680</v>
      </c>
    </row>
    <row r="23" spans="1:2" x14ac:dyDescent="0.25">
      <c r="A23" t="s">
        <v>18</v>
      </c>
      <c r="B23" s="3">
        <v>900</v>
      </c>
    </row>
    <row r="24" spans="1:2" x14ac:dyDescent="0.25">
      <c r="A24" t="s">
        <v>19</v>
      </c>
      <c r="B24" s="3">
        <v>2400</v>
      </c>
    </row>
    <row r="25" spans="1:2" x14ac:dyDescent="0.25">
      <c r="A25" t="s">
        <v>20</v>
      </c>
      <c r="B25" s="3">
        <v>3600</v>
      </c>
    </row>
    <row r="26" spans="1:2" x14ac:dyDescent="0.25">
      <c r="A26" t="s">
        <v>21</v>
      </c>
      <c r="B26" s="3">
        <v>1440</v>
      </c>
    </row>
    <row r="27" spans="1:2" x14ac:dyDescent="0.25">
      <c r="A27" t="s">
        <v>22</v>
      </c>
      <c r="B27" s="3">
        <v>1200</v>
      </c>
    </row>
    <row r="28" spans="1:2" x14ac:dyDescent="0.25">
      <c r="A28" t="s">
        <v>23</v>
      </c>
      <c r="B28" s="3">
        <v>450</v>
      </c>
    </row>
    <row r="29" spans="1:2" s="1" customFormat="1" x14ac:dyDescent="0.25">
      <c r="A29" s="1" t="s">
        <v>24</v>
      </c>
      <c r="B29" s="2">
        <f>SUM(B12:B28)</f>
        <v>142195</v>
      </c>
    </row>
    <row r="31" spans="1:2" s="1" customFormat="1" x14ac:dyDescent="0.25">
      <c r="A31" s="1" t="s">
        <v>25</v>
      </c>
      <c r="B31" s="2">
        <f>B9-B29</f>
        <v>57805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4DE7B-E5E2-44B7-97CB-9E7B7F4049F0}">
  <dimension ref="A1:B39"/>
  <sheetViews>
    <sheetView workbookViewId="0">
      <selection activeCell="H11" sqref="H11"/>
    </sheetView>
  </sheetViews>
  <sheetFormatPr defaultRowHeight="15" x14ac:dyDescent="0.25"/>
  <cols>
    <col min="1" max="1" width="41.140625" bestFit="1" customWidth="1"/>
    <col min="2" max="2" width="10.5703125" bestFit="1" customWidth="1"/>
  </cols>
  <sheetData>
    <row r="1" spans="1:2" x14ac:dyDescent="0.25">
      <c r="B1" s="3"/>
    </row>
    <row r="2" spans="1:2" s="1" customFormat="1" x14ac:dyDescent="0.25">
      <c r="A2" s="1" t="s">
        <v>0</v>
      </c>
      <c r="B2" s="2"/>
    </row>
    <row r="3" spans="1:2" s="1" customFormat="1" x14ac:dyDescent="0.25">
      <c r="A3" s="1" t="s">
        <v>26</v>
      </c>
      <c r="B3" s="2"/>
    </row>
    <row r="4" spans="1:2" s="1" customFormat="1" x14ac:dyDescent="0.25">
      <c r="A4" s="1" t="s">
        <v>58</v>
      </c>
      <c r="B4" s="2"/>
    </row>
    <row r="5" spans="1:2" x14ac:dyDescent="0.25">
      <c r="B5" s="3"/>
    </row>
    <row r="6" spans="1:2" s="1" customFormat="1" x14ac:dyDescent="0.25">
      <c r="A6" s="1" t="s">
        <v>27</v>
      </c>
      <c r="B6" s="2"/>
    </row>
    <row r="7" spans="1:2" x14ac:dyDescent="0.25">
      <c r="A7" t="s">
        <v>28</v>
      </c>
      <c r="B7" s="3"/>
    </row>
    <row r="8" spans="1:2" x14ac:dyDescent="0.25">
      <c r="A8" t="s">
        <v>29</v>
      </c>
      <c r="B8" s="3">
        <v>32000</v>
      </c>
    </row>
    <row r="9" spans="1:2" x14ac:dyDescent="0.25">
      <c r="A9" t="s">
        <v>30</v>
      </c>
      <c r="B9" s="3">
        <v>15000</v>
      </c>
    </row>
    <row r="10" spans="1:2" x14ac:dyDescent="0.25">
      <c r="A10" t="s">
        <v>31</v>
      </c>
      <c r="B10" s="3">
        <v>2100</v>
      </c>
    </row>
    <row r="11" spans="1:2" x14ac:dyDescent="0.25">
      <c r="A11" t="s">
        <v>32</v>
      </c>
      <c r="B11" s="3">
        <v>800</v>
      </c>
    </row>
    <row r="12" spans="1:2" s="1" customFormat="1" x14ac:dyDescent="0.25">
      <c r="A12" s="1" t="s">
        <v>33</v>
      </c>
      <c r="B12" s="2">
        <f>SUM(B8:B11)</f>
        <v>49900</v>
      </c>
    </row>
    <row r="13" spans="1:2" x14ac:dyDescent="0.25">
      <c r="B13" s="3"/>
    </row>
    <row r="14" spans="1:2" s="1" customFormat="1" x14ac:dyDescent="0.25">
      <c r="A14" s="1" t="s">
        <v>34</v>
      </c>
      <c r="B14" s="2"/>
    </row>
    <row r="15" spans="1:2" x14ac:dyDescent="0.25">
      <c r="A15" t="s">
        <v>35</v>
      </c>
      <c r="B15" s="3">
        <v>28000</v>
      </c>
    </row>
    <row r="16" spans="1:2" x14ac:dyDescent="0.25">
      <c r="A16" t="s">
        <v>36</v>
      </c>
      <c r="B16" s="3">
        <v>-8400</v>
      </c>
    </row>
    <row r="17" spans="1:2" x14ac:dyDescent="0.25">
      <c r="A17" t="s">
        <v>37</v>
      </c>
      <c r="B17" s="3">
        <v>3500</v>
      </c>
    </row>
    <row r="18" spans="1:2" x14ac:dyDescent="0.25">
      <c r="A18" t="s">
        <v>38</v>
      </c>
      <c r="B18" s="3">
        <v>-1400</v>
      </c>
    </row>
    <row r="19" spans="1:2" x14ac:dyDescent="0.25">
      <c r="A19" t="s">
        <v>39</v>
      </c>
      <c r="B19" s="3">
        <v>2200</v>
      </c>
    </row>
    <row r="20" spans="1:2" x14ac:dyDescent="0.25">
      <c r="A20" t="s">
        <v>40</v>
      </c>
      <c r="B20" s="3">
        <v>-660</v>
      </c>
    </row>
    <row r="21" spans="1:2" x14ac:dyDescent="0.25">
      <c r="A21" t="s">
        <v>41</v>
      </c>
      <c r="B21" s="3">
        <v>23240</v>
      </c>
    </row>
    <row r="22" spans="1:2" s="1" customFormat="1" x14ac:dyDescent="0.25">
      <c r="A22" s="1" t="s">
        <v>42</v>
      </c>
      <c r="B22" s="2">
        <f>SUM(B15:B21)</f>
        <v>46480</v>
      </c>
    </row>
    <row r="23" spans="1:2" x14ac:dyDescent="0.25">
      <c r="B23" s="3"/>
    </row>
    <row r="24" spans="1:2" s="1" customFormat="1" x14ac:dyDescent="0.25">
      <c r="A24" s="1" t="s">
        <v>43</v>
      </c>
      <c r="B24" s="2"/>
    </row>
    <row r="25" spans="1:2" s="1" customFormat="1" x14ac:dyDescent="0.25">
      <c r="A25" s="1" t="s">
        <v>44</v>
      </c>
      <c r="B25" s="2"/>
    </row>
    <row r="26" spans="1:2" x14ac:dyDescent="0.25">
      <c r="A26" t="s">
        <v>45</v>
      </c>
      <c r="B26" s="3">
        <v>3200</v>
      </c>
    </row>
    <row r="27" spans="1:2" x14ac:dyDescent="0.25">
      <c r="A27" t="s">
        <v>46</v>
      </c>
      <c r="B27" s="3">
        <v>7900</v>
      </c>
    </row>
    <row r="28" spans="1:2" x14ac:dyDescent="0.25">
      <c r="A28" t="s">
        <v>47</v>
      </c>
      <c r="B28" s="3">
        <v>2500</v>
      </c>
    </row>
    <row r="29" spans="1:2" x14ac:dyDescent="0.25">
      <c r="A29" t="s">
        <v>48</v>
      </c>
      <c r="B29" s="3">
        <v>1800</v>
      </c>
    </row>
    <row r="30" spans="1:2" s="1" customFormat="1" x14ac:dyDescent="0.25">
      <c r="A30" s="1" t="s">
        <v>49</v>
      </c>
      <c r="B30" s="2">
        <f>SUM(B26:B29)</f>
        <v>15400</v>
      </c>
    </row>
    <row r="31" spans="1:2" x14ac:dyDescent="0.25">
      <c r="B31" s="3"/>
    </row>
    <row r="32" spans="1:2" s="1" customFormat="1" x14ac:dyDescent="0.25">
      <c r="A32" s="1" t="s">
        <v>50</v>
      </c>
      <c r="B32" s="2"/>
    </row>
    <row r="33" spans="1:2" x14ac:dyDescent="0.25">
      <c r="A33" t="s">
        <v>51</v>
      </c>
      <c r="B33" s="3">
        <v>12000</v>
      </c>
    </row>
    <row r="34" spans="1:2" x14ac:dyDescent="0.25">
      <c r="A34" t="s">
        <v>52</v>
      </c>
      <c r="B34" s="3">
        <v>12000</v>
      </c>
    </row>
    <row r="35" spans="1:2" s="1" customFormat="1" x14ac:dyDescent="0.25">
      <c r="A35" s="1" t="s">
        <v>53</v>
      </c>
      <c r="B35" s="2">
        <f>SUM(B33:B34)</f>
        <v>24000</v>
      </c>
    </row>
    <row r="36" spans="1:2" x14ac:dyDescent="0.25">
      <c r="B36" s="3"/>
    </row>
    <row r="37" spans="1:2" s="1" customFormat="1" x14ac:dyDescent="0.25">
      <c r="A37" s="1" t="s">
        <v>54</v>
      </c>
      <c r="B37" s="2">
        <v>45740</v>
      </c>
    </row>
    <row r="38" spans="1:2" s="1" customFormat="1" x14ac:dyDescent="0.25">
      <c r="A38" s="1" t="s">
        <v>55</v>
      </c>
      <c r="B38" s="2">
        <f>SUM(B35+B37)</f>
        <v>69740</v>
      </c>
    </row>
    <row r="39" spans="1:2" x14ac:dyDescent="0.25">
      <c r="B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 (P&amp;L)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Mugisa</dc:creator>
  <cp:lastModifiedBy>Allan Mugisa</cp:lastModifiedBy>
  <dcterms:created xsi:type="dcterms:W3CDTF">2025-11-13T01:51:00Z</dcterms:created>
  <dcterms:modified xsi:type="dcterms:W3CDTF">2025-11-14T06:11:42Z</dcterms:modified>
</cp:coreProperties>
</file>